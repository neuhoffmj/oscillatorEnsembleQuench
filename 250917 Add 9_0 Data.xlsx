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er\Documents\Research\Data\Plate Reader\Kudryashov\25-8-13 Latch Titration\latchPlate\"/>
    </mc:Choice>
  </mc:AlternateContent>
  <xr:revisionPtr revIDLastSave="0" documentId="13_ncr:1_{D4B48F52-52BA-4886-99A9-39B6C67BF4D1}" xr6:coauthVersionLast="47" xr6:coauthVersionMax="47" xr10:uidLastSave="{00000000-0000-0000-0000-000000000000}"/>
  <bookViews>
    <workbookView xWindow="-108" yWindow="-108" windowWidth="29016" windowHeight="15696" xr2:uid="{5F7A7152-EB34-4B38-96EC-8C949F1EF551}"/>
  </bookViews>
  <sheets>
    <sheet name="Sheet1" sheetId="2" r:id="rId1"/>
    <sheet name="Sheet3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O16" i="1"/>
  <c r="O15" i="1"/>
  <c r="O14" i="1"/>
  <c r="N16" i="1"/>
  <c r="N15" i="1"/>
  <c r="M16" i="1"/>
  <c r="M15" i="1"/>
  <c r="M14" i="1"/>
  <c r="J16" i="1"/>
  <c r="G16" i="1"/>
  <c r="D16" i="1"/>
  <c r="J15" i="1"/>
  <c r="G15" i="1"/>
  <c r="D15" i="1"/>
</calcChain>
</file>

<file path=xl/sharedStrings.xml><?xml version="1.0" encoding="utf-8"?>
<sst xmlns="http://schemas.openxmlformats.org/spreadsheetml/2006/main" count="79" uniqueCount="37">
  <si>
    <t>fluor</t>
  </si>
  <si>
    <t>0_0 L</t>
  </si>
  <si>
    <t>5_0</t>
  </si>
  <si>
    <t>6_0</t>
  </si>
  <si>
    <t>7_0</t>
  </si>
  <si>
    <t>8_0</t>
  </si>
  <si>
    <t>9_0</t>
  </si>
  <si>
    <t>10_0</t>
  </si>
  <si>
    <t>11_0</t>
  </si>
  <si>
    <t>12_0</t>
  </si>
  <si>
    <t>15_0</t>
  </si>
  <si>
    <t>0_0 R</t>
  </si>
  <si>
    <t>0_5</t>
  </si>
  <si>
    <t>0_6</t>
  </si>
  <si>
    <t>0_7</t>
  </si>
  <si>
    <t>0_8</t>
  </si>
  <si>
    <t>0_9</t>
  </si>
  <si>
    <t>0_10</t>
  </si>
  <si>
    <t>0_11</t>
  </si>
  <si>
    <t>0_12</t>
  </si>
  <si>
    <t>0_15</t>
  </si>
  <si>
    <t>A488</t>
  </si>
  <si>
    <t>Cy3</t>
  </si>
  <si>
    <t>Cy5</t>
  </si>
  <si>
    <t>foldTrial</t>
  </si>
  <si>
    <t>Blank</t>
  </si>
  <si>
    <t>new avg A488 blnk</t>
  </si>
  <si>
    <t>new avg Cy3</t>
  </si>
  <si>
    <t>new avg Cy5</t>
  </si>
  <si>
    <t>old avg A488 blnk</t>
  </si>
  <si>
    <t>old avg Cy3</t>
  </si>
  <si>
    <t>old avg Cy5</t>
  </si>
  <si>
    <t>new vals</t>
  </si>
  <si>
    <t>avg</t>
  </si>
  <si>
    <t>A488 new vals</t>
  </si>
  <si>
    <t>Cy3 new vals</t>
  </si>
  <si>
    <t>Cy5 new 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</si>
</sst>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/>
    <xf numFmtId="1" fontId="1" fillId="0" borderId="0"/>
    <xf numFmtId="2" fontId="1" fillId="0" borderId="0"/>
    <xf numFmtId="164" fontId="1" fillId="0" borderId="0"/>
  </cellStyleXfs>
  <cellXfs count="5">
    <xf numFmtId="0" fontId="0" fillId="0" borderId="0" xfId="0"/>
    <xf numFmtId="164" fontId="1" fillId="0" borderId="2" xfId="4" applyBorder="1"/>
    <xf numFmtId="164" fontId="0" fillId="0" borderId="1" xfId="4" applyFont="1" applyBorder="1"/>
    <xf numFmtId="0" fontId="0" fillId="2" borderId="3" xfId="0" applyFill="1" applyBorder="1"/>
    <xf numFmtId="0" fontId="0" fillId="2" borderId="0" xfId="0" applyFill="1"/>
  </cellXfs>
  <cellStyles count="5">
    <cellStyle name="Normal" xfId="0" builtinId="0"/>
    <cellStyle name="P100 Pipette" xfId="1" xr:uid="{7D6FDE92-0B7F-47D2-9DBD-9888BC9457E3}"/>
    <cellStyle name="P1000 Pipette" xfId="2" xr:uid="{D8B29994-C5CE-4453-B65D-5BF492E9D238}"/>
    <cellStyle name="P20 Pipette" xfId="3" xr:uid="{B68A1A94-D231-457F-B431-A24EDCAFCFAB}"/>
    <cellStyle name="To Pipette" xfId="4" xr:uid="{E388F548-88F9-43E6-8CD4-D93C9ADB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D142-2B5C-4945-8FE4-5E7FF9B8A158}">
  <dimension ref="A1:W10"/>
  <sheetViews>
    <sheetView tabSelected="1" workbookViewId="0">
      <selection activeCell="G28" sqref="G28"/>
    </sheetView>
  </sheetViews>
  <sheetFormatPr defaultRowHeight="14.4" x14ac:dyDescent="0.3"/>
  <sheetData>
    <row r="1" spans="1:23" x14ac:dyDescent="0.3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" thickBot="1" x14ac:dyDescent="0.35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>
        <v>45211.666666666672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" thickBot="1" x14ac:dyDescent="0.35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45492.666666666672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x14ac:dyDescent="0.3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4">
        <v>46100.666666666672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3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44555.666666666664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3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45913.666666666664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3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46290.666666666664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3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44743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3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47521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3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50392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61AE-794C-4007-9C5F-60C2053B309F}">
  <dimension ref="A1:W17"/>
  <sheetViews>
    <sheetView workbookViewId="0">
      <selection activeCell="W10" sqref="A1:W10"/>
    </sheetView>
  </sheetViews>
  <sheetFormatPr defaultRowHeight="14.4" x14ac:dyDescent="0.3"/>
  <cols>
    <col min="2" max="2" width="15.5546875" bestFit="1" customWidth="1"/>
    <col min="5" max="5" width="10.6640625" bestFit="1" customWidth="1"/>
    <col min="8" max="8" width="10.6640625" bestFit="1" customWidth="1"/>
  </cols>
  <sheetData>
    <row r="1" spans="1:23" x14ac:dyDescent="0.3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" thickBot="1" x14ac:dyDescent="0.35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>
        <v>45211.666666666672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" thickBot="1" x14ac:dyDescent="0.35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45492.666666666672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x14ac:dyDescent="0.3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4">
        <v>46100.666666666672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3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44555.666666666664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3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45913.666666666664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3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46290.666666666664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3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44743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3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47521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3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50392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  <row r="13" spans="1:23" x14ac:dyDescent="0.3">
      <c r="M13" t="s">
        <v>34</v>
      </c>
      <c r="N13" t="s">
        <v>35</v>
      </c>
      <c r="O13" t="s">
        <v>36</v>
      </c>
    </row>
    <row r="14" spans="1:23" x14ac:dyDescent="0.3">
      <c r="C14" t="s">
        <v>32</v>
      </c>
      <c r="D14" t="s">
        <v>33</v>
      </c>
      <c r="F14" t="s">
        <v>32</v>
      </c>
      <c r="G14" t="s">
        <v>33</v>
      </c>
      <c r="I14" t="s">
        <v>32</v>
      </c>
      <c r="J14" t="s">
        <v>33</v>
      </c>
      <c r="M14">
        <f>44101-D15+D16</f>
        <v>45211.666666666672</v>
      </c>
      <c r="N14">
        <f>44442-G15+G16</f>
        <v>44555.666666666664</v>
      </c>
      <c r="O14">
        <f>45843-J15+J16</f>
        <v>44743</v>
      </c>
    </row>
    <row r="15" spans="1:23" x14ac:dyDescent="0.3">
      <c r="B15" t="s">
        <v>26</v>
      </c>
      <c r="C15">
        <v>954</v>
      </c>
      <c r="D15">
        <f>AVERAGE(C15:C17)</f>
        <v>968.66666666666663</v>
      </c>
      <c r="E15" t="s">
        <v>27</v>
      </c>
      <c r="F15">
        <v>1570</v>
      </c>
      <c r="G15">
        <f>AVERAGEA(F15:F17)</f>
        <v>1547.3333333333333</v>
      </c>
      <c r="H15" t="s">
        <v>28</v>
      </c>
      <c r="I15">
        <v>1411</v>
      </c>
      <c r="J15">
        <f>AVERAGE(I15:I17)</f>
        <v>1467.3333333333333</v>
      </c>
      <c r="M15">
        <f>44382-D15+D16</f>
        <v>45492.666666666672</v>
      </c>
      <c r="N15">
        <f>45800-G15+G16</f>
        <v>45913.666666666664</v>
      </c>
      <c r="O15">
        <f>48621-J15+J16</f>
        <v>47521</v>
      </c>
    </row>
    <row r="16" spans="1:23" x14ac:dyDescent="0.3">
      <c r="B16" t="s">
        <v>29</v>
      </c>
      <c r="C16">
        <v>962</v>
      </c>
      <c r="D16">
        <f>AVERAGE(C2:C4)</f>
        <v>2079.3333333333335</v>
      </c>
      <c r="E16" t="s">
        <v>30</v>
      </c>
      <c r="F16">
        <v>1559</v>
      </c>
      <c r="G16">
        <f>AVERAGE(C5:C7)</f>
        <v>1661</v>
      </c>
      <c r="H16" t="s">
        <v>31</v>
      </c>
      <c r="I16">
        <v>1420</v>
      </c>
      <c r="J16">
        <f>AVERAGE(C8:C10)</f>
        <v>367.33333333333331</v>
      </c>
      <c r="M16">
        <f>44990-D15+D16</f>
        <v>46100.666666666672</v>
      </c>
      <c r="N16">
        <f>46177-G15+G16</f>
        <v>46290.666666666664</v>
      </c>
      <c r="O16">
        <f>51492-J15+J16</f>
        <v>50392</v>
      </c>
    </row>
    <row r="17" spans="3:9" x14ac:dyDescent="0.3">
      <c r="C17">
        <v>990</v>
      </c>
      <c r="F17">
        <v>1513</v>
      </c>
      <c r="I17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Neuhoff, Michael</dc:creator>
  <cp:lastModifiedBy>Neuhoff, Michael</cp:lastModifiedBy>
  <dcterms:created xsi:type="dcterms:W3CDTF">2024-11-12T16:03:51Z</dcterms:created>
  <dcterms:modified xsi:type="dcterms:W3CDTF">2025-09-17T21:01:20Z</dcterms:modified>
</cp:coreProperties>
</file>