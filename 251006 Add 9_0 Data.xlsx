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per\Documents\Research\Data\Plate Reader\Kudryashov\25-8-13 Latch Titration\latchPlate\"/>
    </mc:Choice>
  </mc:AlternateContent>
  <xr:revisionPtr revIDLastSave="0" documentId="13_ncr:1_{060E9357-832A-490C-9DD7-8400D3D33785}" xr6:coauthVersionLast="47" xr6:coauthVersionMax="47" xr10:uidLastSave="{00000000-0000-0000-0000-000000000000}"/>
  <bookViews>
    <workbookView xWindow="-120" yWindow="-120" windowWidth="29040" windowHeight="15720" xr2:uid="{5F7A7152-EB34-4B38-96EC-8C949F1EF551}"/>
  </bookViews>
  <sheets>
    <sheet name="Sheet1" sheetId="2" r:id="rId1"/>
    <sheet name="Sheet3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" l="1"/>
  <c r="O15" i="1"/>
  <c r="O14" i="1"/>
  <c r="N16" i="1"/>
  <c r="N15" i="1"/>
  <c r="N14" i="1"/>
  <c r="M16" i="1"/>
  <c r="M15" i="1"/>
  <c r="M14" i="1"/>
  <c r="J16" i="1"/>
  <c r="G16" i="1"/>
  <c r="D16" i="1"/>
  <c r="J15" i="1"/>
  <c r="G15" i="1"/>
  <c r="D15" i="1"/>
</calcChain>
</file>

<file path=xl/sharedStrings.xml><?xml version="1.0" encoding="utf-8"?>
<sst xmlns="http://schemas.openxmlformats.org/spreadsheetml/2006/main" count="79" uniqueCount="37">
  <si>
    <t>fluor</t>
  </si>
  <si>
    <t>0_0 L</t>
  </si>
  <si>
    <t>5_0</t>
  </si>
  <si>
    <t>6_0</t>
  </si>
  <si>
    <t>7_0</t>
  </si>
  <si>
    <t>8_0</t>
  </si>
  <si>
    <t>9_0</t>
  </si>
  <si>
    <t>10_0</t>
  </si>
  <si>
    <t>11_0</t>
  </si>
  <si>
    <t>12_0</t>
  </si>
  <si>
    <t>15_0</t>
  </si>
  <si>
    <t>0_0 R</t>
  </si>
  <si>
    <t>0_5</t>
  </si>
  <si>
    <t>0_6</t>
  </si>
  <si>
    <t>0_7</t>
  </si>
  <si>
    <t>0_8</t>
  </si>
  <si>
    <t>0_9</t>
  </si>
  <si>
    <t>0_10</t>
  </si>
  <si>
    <t>0_11</t>
  </si>
  <si>
    <t>0_12</t>
  </si>
  <si>
    <t>0_15</t>
  </si>
  <si>
    <t>A488</t>
  </si>
  <si>
    <t>Cy3</t>
  </si>
  <si>
    <t>Cy5</t>
  </si>
  <si>
    <t>foldTrial</t>
  </si>
  <si>
    <t>Blank</t>
  </si>
  <si>
    <t>new avg A488 blnk</t>
  </si>
  <si>
    <t>new avg Cy3</t>
  </si>
  <si>
    <t>new avg Cy5</t>
  </si>
  <si>
    <t>old avg A488 blnk</t>
  </si>
  <si>
    <t>old avg Cy3</t>
  </si>
  <si>
    <t>old avg Cy5</t>
  </si>
  <si>
    <t>new vals</t>
  </si>
  <si>
    <t>avg</t>
  </si>
  <si>
    <t>A488 new vals</t>
  </si>
  <si>
    <t>Cy3 new vals</t>
  </si>
  <si>
    <t>Cy5 new 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</si>
</sst>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/>
    <xf numFmtId="1" fontId="1" fillId="0" borderId="0"/>
    <xf numFmtId="2" fontId="1" fillId="0" borderId="0"/>
    <xf numFmtId="164" fontId="1" fillId="0" borderId="0"/>
  </cellStyleXfs>
  <cellXfs count="5">
    <xf numFmtId="0" fontId="0" fillId="0" borderId="0" xfId="0"/>
    <xf numFmtId="164" fontId="1" fillId="0" borderId="2" xfId="4" applyBorder="1"/>
    <xf numFmtId="164" fontId="0" fillId="0" borderId="1" xfId="4" applyFont="1" applyBorder="1"/>
    <xf numFmtId="0" fontId="0" fillId="2" borderId="3" xfId="0" applyFill="1" applyBorder="1"/>
    <xf numFmtId="0" fontId="0" fillId="2" borderId="0" xfId="0" applyFill="1"/>
  </cellXfs>
  <cellStyles count="5">
    <cellStyle name="Normal" xfId="0" builtinId="0"/>
    <cellStyle name="P100 Pipette" xfId="1" xr:uid="{7D6FDE92-0B7F-47D2-9DBD-9888BC9457E3}"/>
    <cellStyle name="P1000 Pipette" xfId="2" xr:uid="{D8B29994-C5CE-4453-B65D-5BF492E9D238}"/>
    <cellStyle name="P20 Pipette" xfId="3" xr:uid="{B68A1A94-D231-457F-B431-A24EDCAFCFAB}"/>
    <cellStyle name="To Pipette" xfId="4" xr:uid="{E388F548-88F9-43E6-8CD4-D93C9ADBD5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D142-2B5C-4945-8FE4-5E7FF9B8A158}">
  <dimension ref="A1:W10"/>
  <sheetViews>
    <sheetView tabSelected="1" workbookViewId="0">
      <selection activeCell="J19" sqref="J19"/>
    </sheetView>
  </sheetViews>
  <sheetFormatPr defaultRowHeight="15" x14ac:dyDescent="0.25"/>
  <sheetData>
    <row r="1" spans="1:23" x14ac:dyDescent="0.25">
      <c r="A1" t="s">
        <v>24</v>
      </c>
      <c r="B1" t="s">
        <v>0</v>
      </c>
      <c r="C1" s="2" t="s">
        <v>25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ht="15.75" thickBot="1" x14ac:dyDescent="0.3">
      <c r="A2">
        <v>1</v>
      </c>
      <c r="B2" t="s">
        <v>21</v>
      </c>
      <c r="C2">
        <v>1993</v>
      </c>
      <c r="D2">
        <v>42299</v>
      </c>
      <c r="E2">
        <v>40773</v>
      </c>
      <c r="F2">
        <v>41844</v>
      </c>
      <c r="G2">
        <v>42669</v>
      </c>
      <c r="H2">
        <v>43288</v>
      </c>
      <c r="I2">
        <v>39725.666666666672</v>
      </c>
      <c r="J2">
        <v>44251</v>
      </c>
      <c r="K2">
        <v>42074</v>
      </c>
      <c r="L2">
        <v>40473</v>
      </c>
      <c r="M2">
        <v>39757</v>
      </c>
      <c r="N2">
        <v>43092</v>
      </c>
      <c r="O2">
        <v>42299</v>
      </c>
      <c r="P2">
        <v>42310</v>
      </c>
      <c r="Q2">
        <v>40409</v>
      </c>
      <c r="R2">
        <v>42941</v>
      </c>
      <c r="S2">
        <v>48260</v>
      </c>
      <c r="T2">
        <v>43508</v>
      </c>
      <c r="U2">
        <v>42173</v>
      </c>
      <c r="V2">
        <v>40346</v>
      </c>
      <c r="W2">
        <v>41726</v>
      </c>
    </row>
    <row r="3" spans="1:23" ht="15.75" thickBot="1" x14ac:dyDescent="0.3">
      <c r="A3">
        <v>2</v>
      </c>
      <c r="B3" t="s">
        <v>21</v>
      </c>
      <c r="C3">
        <v>2272</v>
      </c>
      <c r="D3">
        <v>42764</v>
      </c>
      <c r="E3">
        <v>42768</v>
      </c>
      <c r="F3">
        <v>43137</v>
      </c>
      <c r="G3">
        <v>44140</v>
      </c>
      <c r="H3">
        <v>44109</v>
      </c>
      <c r="I3" s="3">
        <v>39444.666666666672</v>
      </c>
      <c r="J3">
        <v>46663</v>
      </c>
      <c r="K3">
        <v>41842</v>
      </c>
      <c r="L3">
        <v>42309</v>
      </c>
      <c r="M3">
        <v>41629</v>
      </c>
      <c r="N3">
        <v>42627</v>
      </c>
      <c r="O3">
        <v>44090</v>
      </c>
      <c r="P3">
        <v>44305</v>
      </c>
      <c r="Q3">
        <v>43887</v>
      </c>
      <c r="R3">
        <v>44352</v>
      </c>
      <c r="S3">
        <v>48580</v>
      </c>
      <c r="T3">
        <v>43907</v>
      </c>
      <c r="U3">
        <v>41405</v>
      </c>
      <c r="V3">
        <v>44131</v>
      </c>
      <c r="W3">
        <v>42648</v>
      </c>
    </row>
    <row r="4" spans="1:23" x14ac:dyDescent="0.25">
      <c r="A4">
        <v>3</v>
      </c>
      <c r="B4" t="s">
        <v>21</v>
      </c>
      <c r="C4">
        <v>1973</v>
      </c>
      <c r="D4">
        <v>43040</v>
      </c>
      <c r="E4">
        <v>44200</v>
      </c>
      <c r="F4">
        <v>42442</v>
      </c>
      <c r="G4">
        <v>45049</v>
      </c>
      <c r="H4">
        <v>46314</v>
      </c>
      <c r="I4" s="4">
        <v>40715.666666666672</v>
      </c>
      <c r="J4">
        <v>47052</v>
      </c>
      <c r="K4">
        <v>43924</v>
      </c>
      <c r="L4">
        <v>43926</v>
      </c>
      <c r="M4">
        <v>43442</v>
      </c>
      <c r="N4">
        <v>44152</v>
      </c>
      <c r="O4">
        <v>44465</v>
      </c>
      <c r="P4">
        <v>44254</v>
      </c>
      <c r="Q4">
        <v>45767</v>
      </c>
      <c r="R4">
        <v>43812</v>
      </c>
      <c r="S4" s="4">
        <v>50973</v>
      </c>
      <c r="T4">
        <v>46916</v>
      </c>
      <c r="U4">
        <v>43930</v>
      </c>
      <c r="V4">
        <v>44209</v>
      </c>
      <c r="W4">
        <v>43384</v>
      </c>
    </row>
    <row r="5" spans="1:23" x14ac:dyDescent="0.25">
      <c r="A5">
        <v>1</v>
      </c>
      <c r="B5" t="s">
        <v>22</v>
      </c>
      <c r="C5">
        <v>1638</v>
      </c>
      <c r="D5">
        <v>43800</v>
      </c>
      <c r="E5">
        <v>41043</v>
      </c>
      <c r="F5">
        <v>41591</v>
      </c>
      <c r="G5">
        <v>41302</v>
      </c>
      <c r="H5">
        <v>40821</v>
      </c>
      <c r="I5">
        <v>36320.666666666664</v>
      </c>
      <c r="J5">
        <v>42430</v>
      </c>
      <c r="K5">
        <v>46963</v>
      </c>
      <c r="L5">
        <v>45127</v>
      </c>
      <c r="M5">
        <v>44576</v>
      </c>
      <c r="N5">
        <v>43506</v>
      </c>
      <c r="O5">
        <v>40478</v>
      </c>
      <c r="P5">
        <v>33716</v>
      </c>
      <c r="Q5">
        <v>29504</v>
      </c>
      <c r="R5">
        <v>23010</v>
      </c>
      <c r="S5">
        <v>22305</v>
      </c>
      <c r="T5">
        <v>23500</v>
      </c>
      <c r="U5">
        <v>21533</v>
      </c>
      <c r="V5">
        <v>21023</v>
      </c>
      <c r="W5">
        <v>22199</v>
      </c>
    </row>
    <row r="6" spans="1:23" x14ac:dyDescent="0.25">
      <c r="A6">
        <v>2</v>
      </c>
      <c r="B6" t="s">
        <v>22</v>
      </c>
      <c r="C6">
        <v>1726</v>
      </c>
      <c r="D6">
        <v>42223</v>
      </c>
      <c r="E6">
        <v>41663</v>
      </c>
      <c r="F6">
        <v>40952</v>
      </c>
      <c r="G6">
        <v>41274</v>
      </c>
      <c r="H6">
        <v>39895</v>
      </c>
      <c r="I6">
        <v>36102.666666666664</v>
      </c>
      <c r="J6">
        <v>42064</v>
      </c>
      <c r="K6">
        <v>45042</v>
      </c>
      <c r="L6">
        <v>45108</v>
      </c>
      <c r="M6">
        <v>44987</v>
      </c>
      <c r="N6">
        <v>41497</v>
      </c>
      <c r="O6">
        <v>41025</v>
      </c>
      <c r="P6">
        <v>34404</v>
      </c>
      <c r="Q6">
        <v>31664</v>
      </c>
      <c r="R6">
        <v>23793</v>
      </c>
      <c r="S6">
        <v>22226</v>
      </c>
      <c r="T6">
        <v>21764</v>
      </c>
      <c r="U6">
        <v>20696</v>
      </c>
      <c r="V6">
        <v>21495</v>
      </c>
      <c r="W6">
        <v>21310</v>
      </c>
    </row>
    <row r="7" spans="1:23" x14ac:dyDescent="0.25">
      <c r="A7">
        <v>3</v>
      </c>
      <c r="B7" t="s">
        <v>22</v>
      </c>
      <c r="C7">
        <v>1619</v>
      </c>
      <c r="D7">
        <v>41717</v>
      </c>
      <c r="E7">
        <v>40386</v>
      </c>
      <c r="F7">
        <v>39301</v>
      </c>
      <c r="G7">
        <v>41743</v>
      </c>
      <c r="H7">
        <v>40053</v>
      </c>
      <c r="I7">
        <v>35686.666666666664</v>
      </c>
      <c r="J7">
        <v>42153</v>
      </c>
      <c r="K7">
        <v>44833</v>
      </c>
      <c r="L7">
        <v>45821</v>
      </c>
      <c r="M7">
        <v>46243</v>
      </c>
      <c r="N7">
        <v>40611</v>
      </c>
      <c r="O7">
        <v>40806</v>
      </c>
      <c r="P7">
        <v>33981</v>
      </c>
      <c r="Q7">
        <v>31700</v>
      </c>
      <c r="R7">
        <v>23505</v>
      </c>
      <c r="S7">
        <v>23171</v>
      </c>
      <c r="T7">
        <v>22898</v>
      </c>
      <c r="U7">
        <v>21590</v>
      </c>
      <c r="V7">
        <v>21115</v>
      </c>
      <c r="W7">
        <v>22109</v>
      </c>
    </row>
    <row r="8" spans="1:23" x14ac:dyDescent="0.25">
      <c r="A8">
        <v>1</v>
      </c>
      <c r="B8" t="s">
        <v>23</v>
      </c>
      <c r="C8">
        <v>377</v>
      </c>
      <c r="D8">
        <v>45511</v>
      </c>
      <c r="E8">
        <v>36567</v>
      </c>
      <c r="F8">
        <v>31084</v>
      </c>
      <c r="G8">
        <v>29856</v>
      </c>
      <c r="H8">
        <v>23224</v>
      </c>
      <c r="I8">
        <v>19764</v>
      </c>
      <c r="J8">
        <v>13755</v>
      </c>
      <c r="K8">
        <v>8631</v>
      </c>
      <c r="L8">
        <v>7605</v>
      </c>
      <c r="M8">
        <v>8664</v>
      </c>
      <c r="N8">
        <v>42792</v>
      </c>
      <c r="O8">
        <v>40112</v>
      </c>
      <c r="P8">
        <v>40288</v>
      </c>
      <c r="Q8">
        <v>38071</v>
      </c>
      <c r="R8">
        <v>40671</v>
      </c>
      <c r="S8">
        <v>40417</v>
      </c>
      <c r="T8">
        <v>40479</v>
      </c>
      <c r="U8">
        <v>39618</v>
      </c>
      <c r="V8">
        <v>39213</v>
      </c>
      <c r="W8">
        <v>40143</v>
      </c>
    </row>
    <row r="9" spans="1:23" x14ac:dyDescent="0.25">
      <c r="A9">
        <v>2</v>
      </c>
      <c r="B9" t="s">
        <v>23</v>
      </c>
      <c r="C9">
        <v>370</v>
      </c>
      <c r="D9">
        <v>44110</v>
      </c>
      <c r="E9">
        <v>39029</v>
      </c>
      <c r="F9">
        <v>30887</v>
      </c>
      <c r="G9">
        <v>31010</v>
      </c>
      <c r="H9">
        <v>23313</v>
      </c>
      <c r="I9">
        <v>19070</v>
      </c>
      <c r="J9">
        <v>14087</v>
      </c>
      <c r="K9">
        <v>9399</v>
      </c>
      <c r="L9">
        <v>7647</v>
      </c>
      <c r="M9">
        <v>9140</v>
      </c>
      <c r="N9">
        <v>41683</v>
      </c>
      <c r="O9">
        <v>42394</v>
      </c>
      <c r="P9">
        <v>42187</v>
      </c>
      <c r="Q9">
        <v>41991</v>
      </c>
      <c r="R9">
        <v>41488</v>
      </c>
      <c r="S9">
        <v>41987</v>
      </c>
      <c r="T9">
        <v>40715</v>
      </c>
      <c r="U9">
        <v>39912</v>
      </c>
      <c r="V9">
        <v>42215</v>
      </c>
      <c r="W9">
        <v>41333</v>
      </c>
    </row>
    <row r="10" spans="1:23" x14ac:dyDescent="0.25">
      <c r="A10">
        <v>3</v>
      </c>
      <c r="B10" t="s">
        <v>23</v>
      </c>
      <c r="C10">
        <v>355</v>
      </c>
      <c r="D10">
        <v>43293</v>
      </c>
      <c r="E10">
        <v>37421</v>
      </c>
      <c r="F10">
        <v>29523</v>
      </c>
      <c r="G10">
        <v>30792</v>
      </c>
      <c r="H10">
        <v>22353</v>
      </c>
      <c r="I10">
        <v>15321</v>
      </c>
      <c r="J10">
        <v>14264</v>
      </c>
      <c r="K10">
        <v>8806</v>
      </c>
      <c r="L10">
        <v>8708</v>
      </c>
      <c r="M10">
        <v>9354</v>
      </c>
      <c r="N10">
        <v>40540</v>
      </c>
      <c r="O10">
        <v>42185</v>
      </c>
      <c r="P10">
        <v>41515</v>
      </c>
      <c r="Q10">
        <v>41809</v>
      </c>
      <c r="R10">
        <v>41153</v>
      </c>
      <c r="S10">
        <v>42876</v>
      </c>
      <c r="T10">
        <v>42365</v>
      </c>
      <c r="U10">
        <v>42057</v>
      </c>
      <c r="V10">
        <v>41877</v>
      </c>
      <c r="W10">
        <v>41140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61AE-794C-4007-9C5F-60C2053B309F}">
  <dimension ref="A1:W17"/>
  <sheetViews>
    <sheetView workbookViewId="0">
      <selection activeCell="O14" sqref="O14:O16"/>
    </sheetView>
  </sheetViews>
  <sheetFormatPr defaultRowHeight="15" x14ac:dyDescent="0.25"/>
  <cols>
    <col min="2" max="2" width="15.5703125" bestFit="1" customWidth="1"/>
    <col min="5" max="5" width="10.7109375" bestFit="1" customWidth="1"/>
    <col min="8" max="8" width="10.7109375" bestFit="1" customWidth="1"/>
    <col min="13" max="13" width="13.28515625" bestFit="1" customWidth="1"/>
    <col min="14" max="15" width="12" bestFit="1" customWidth="1"/>
  </cols>
  <sheetData>
    <row r="1" spans="1:23" x14ac:dyDescent="0.25">
      <c r="A1" t="s">
        <v>24</v>
      </c>
      <c r="B1" t="s">
        <v>0</v>
      </c>
      <c r="C1" s="2" t="s">
        <v>25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ht="15.75" thickBot="1" x14ac:dyDescent="0.3">
      <c r="A2">
        <v>1</v>
      </c>
      <c r="B2" t="s">
        <v>21</v>
      </c>
      <c r="C2">
        <v>1993</v>
      </c>
      <c r="D2">
        <v>42299</v>
      </c>
      <c r="E2">
        <v>40773</v>
      </c>
      <c r="F2">
        <v>41844</v>
      </c>
      <c r="G2">
        <v>42669</v>
      </c>
      <c r="H2">
        <v>43288</v>
      </c>
      <c r="I2">
        <v>45211.666666666672</v>
      </c>
      <c r="J2">
        <v>44251</v>
      </c>
      <c r="K2">
        <v>42074</v>
      </c>
      <c r="L2">
        <v>40473</v>
      </c>
      <c r="M2">
        <v>39757</v>
      </c>
      <c r="N2">
        <v>43092</v>
      </c>
      <c r="O2">
        <v>42299</v>
      </c>
      <c r="P2">
        <v>42310</v>
      </c>
      <c r="Q2">
        <v>40409</v>
      </c>
      <c r="R2">
        <v>42941</v>
      </c>
      <c r="S2">
        <v>48260</v>
      </c>
      <c r="T2">
        <v>43508</v>
      </c>
      <c r="U2">
        <v>42173</v>
      </c>
      <c r="V2">
        <v>40346</v>
      </c>
      <c r="W2">
        <v>41726</v>
      </c>
    </row>
    <row r="3" spans="1:23" ht="15.75" thickBot="1" x14ac:dyDescent="0.3">
      <c r="A3">
        <v>2</v>
      </c>
      <c r="B3" t="s">
        <v>21</v>
      </c>
      <c r="C3">
        <v>2272</v>
      </c>
      <c r="D3">
        <v>42764</v>
      </c>
      <c r="E3">
        <v>42768</v>
      </c>
      <c r="F3">
        <v>43137</v>
      </c>
      <c r="G3">
        <v>44140</v>
      </c>
      <c r="H3">
        <v>44109</v>
      </c>
      <c r="I3" s="3">
        <v>45492.666666666672</v>
      </c>
      <c r="J3">
        <v>46663</v>
      </c>
      <c r="K3">
        <v>41842</v>
      </c>
      <c r="L3">
        <v>42309</v>
      </c>
      <c r="M3">
        <v>41629</v>
      </c>
      <c r="N3">
        <v>42627</v>
      </c>
      <c r="O3">
        <v>44090</v>
      </c>
      <c r="P3">
        <v>44305</v>
      </c>
      <c r="Q3">
        <v>43887</v>
      </c>
      <c r="R3">
        <v>44352</v>
      </c>
      <c r="S3">
        <v>48580</v>
      </c>
      <c r="T3">
        <v>43907</v>
      </c>
      <c r="U3">
        <v>41405</v>
      </c>
      <c r="V3">
        <v>44131</v>
      </c>
      <c r="W3">
        <v>42648</v>
      </c>
    </row>
    <row r="4" spans="1:23" x14ac:dyDescent="0.25">
      <c r="A4">
        <v>3</v>
      </c>
      <c r="B4" t="s">
        <v>21</v>
      </c>
      <c r="C4">
        <v>1973</v>
      </c>
      <c r="D4">
        <v>43040</v>
      </c>
      <c r="E4">
        <v>44200</v>
      </c>
      <c r="F4">
        <v>42442</v>
      </c>
      <c r="G4">
        <v>45049</v>
      </c>
      <c r="H4">
        <v>46314</v>
      </c>
      <c r="I4" s="4">
        <v>46100.666666666672</v>
      </c>
      <c r="J4">
        <v>47052</v>
      </c>
      <c r="K4">
        <v>43924</v>
      </c>
      <c r="L4">
        <v>43926</v>
      </c>
      <c r="M4">
        <v>43442</v>
      </c>
      <c r="N4">
        <v>44152</v>
      </c>
      <c r="O4">
        <v>44465</v>
      </c>
      <c r="P4">
        <v>44254</v>
      </c>
      <c r="Q4">
        <v>45767</v>
      </c>
      <c r="R4">
        <v>43812</v>
      </c>
      <c r="S4" s="4">
        <v>50973</v>
      </c>
      <c r="T4">
        <v>46916</v>
      </c>
      <c r="U4">
        <v>43930</v>
      </c>
      <c r="V4">
        <v>44209</v>
      </c>
      <c r="W4">
        <v>43384</v>
      </c>
    </row>
    <row r="5" spans="1:23" x14ac:dyDescent="0.25">
      <c r="A5">
        <v>1</v>
      </c>
      <c r="B5" t="s">
        <v>22</v>
      </c>
      <c r="C5">
        <v>1638</v>
      </c>
      <c r="D5">
        <v>43800</v>
      </c>
      <c r="E5">
        <v>41043</v>
      </c>
      <c r="F5">
        <v>41591</v>
      </c>
      <c r="G5">
        <v>41302</v>
      </c>
      <c r="H5">
        <v>40821</v>
      </c>
      <c r="I5">
        <v>44555.666666666664</v>
      </c>
      <c r="J5">
        <v>42430</v>
      </c>
      <c r="K5">
        <v>46963</v>
      </c>
      <c r="L5">
        <v>45127</v>
      </c>
      <c r="M5">
        <v>44576</v>
      </c>
      <c r="N5">
        <v>43506</v>
      </c>
      <c r="O5">
        <v>40478</v>
      </c>
      <c r="P5">
        <v>33716</v>
      </c>
      <c r="Q5">
        <v>29504</v>
      </c>
      <c r="R5">
        <v>23010</v>
      </c>
      <c r="S5">
        <v>22305</v>
      </c>
      <c r="T5">
        <v>23500</v>
      </c>
      <c r="U5">
        <v>21533</v>
      </c>
      <c r="V5">
        <v>21023</v>
      </c>
      <c r="W5">
        <v>22199</v>
      </c>
    </row>
    <row r="6" spans="1:23" x14ac:dyDescent="0.25">
      <c r="A6">
        <v>2</v>
      </c>
      <c r="B6" t="s">
        <v>22</v>
      </c>
      <c r="C6">
        <v>1726</v>
      </c>
      <c r="D6">
        <v>42223</v>
      </c>
      <c r="E6">
        <v>41663</v>
      </c>
      <c r="F6">
        <v>40952</v>
      </c>
      <c r="G6">
        <v>41274</v>
      </c>
      <c r="H6">
        <v>39895</v>
      </c>
      <c r="I6">
        <v>45913.666666666664</v>
      </c>
      <c r="J6">
        <v>42064</v>
      </c>
      <c r="K6">
        <v>45042</v>
      </c>
      <c r="L6">
        <v>45108</v>
      </c>
      <c r="M6">
        <v>44987</v>
      </c>
      <c r="N6">
        <v>41497</v>
      </c>
      <c r="O6">
        <v>41025</v>
      </c>
      <c r="P6">
        <v>34404</v>
      </c>
      <c r="Q6">
        <v>31664</v>
      </c>
      <c r="R6">
        <v>23793</v>
      </c>
      <c r="S6">
        <v>22226</v>
      </c>
      <c r="T6">
        <v>21764</v>
      </c>
      <c r="U6">
        <v>20696</v>
      </c>
      <c r="V6">
        <v>21495</v>
      </c>
      <c r="W6">
        <v>21310</v>
      </c>
    </row>
    <row r="7" spans="1:23" x14ac:dyDescent="0.25">
      <c r="A7">
        <v>3</v>
      </c>
      <c r="B7" t="s">
        <v>22</v>
      </c>
      <c r="C7">
        <v>1619</v>
      </c>
      <c r="D7">
        <v>41717</v>
      </c>
      <c r="E7">
        <v>40386</v>
      </c>
      <c r="F7">
        <v>39301</v>
      </c>
      <c r="G7">
        <v>41743</v>
      </c>
      <c r="H7">
        <v>40053</v>
      </c>
      <c r="I7">
        <v>46290.666666666664</v>
      </c>
      <c r="J7">
        <v>42153</v>
      </c>
      <c r="K7">
        <v>44833</v>
      </c>
      <c r="L7">
        <v>45821</v>
      </c>
      <c r="M7">
        <v>46243</v>
      </c>
      <c r="N7">
        <v>40611</v>
      </c>
      <c r="O7">
        <v>40806</v>
      </c>
      <c r="P7">
        <v>33981</v>
      </c>
      <c r="Q7">
        <v>31700</v>
      </c>
      <c r="R7">
        <v>23505</v>
      </c>
      <c r="S7">
        <v>23171</v>
      </c>
      <c r="T7">
        <v>22898</v>
      </c>
      <c r="U7">
        <v>21590</v>
      </c>
      <c r="V7">
        <v>21115</v>
      </c>
      <c r="W7">
        <v>22109</v>
      </c>
    </row>
    <row r="8" spans="1:23" x14ac:dyDescent="0.25">
      <c r="A8">
        <v>1</v>
      </c>
      <c r="B8" t="s">
        <v>23</v>
      </c>
      <c r="C8">
        <v>377</v>
      </c>
      <c r="D8">
        <v>45511</v>
      </c>
      <c r="E8">
        <v>36567</v>
      </c>
      <c r="F8">
        <v>31084</v>
      </c>
      <c r="G8">
        <v>29856</v>
      </c>
      <c r="H8">
        <v>23224</v>
      </c>
      <c r="I8">
        <v>44743</v>
      </c>
      <c r="J8">
        <v>13755</v>
      </c>
      <c r="K8">
        <v>8631</v>
      </c>
      <c r="L8">
        <v>7605</v>
      </c>
      <c r="M8">
        <v>8664</v>
      </c>
      <c r="N8">
        <v>42792</v>
      </c>
      <c r="O8">
        <v>40112</v>
      </c>
      <c r="P8">
        <v>40288</v>
      </c>
      <c r="Q8">
        <v>38071</v>
      </c>
      <c r="R8">
        <v>40671</v>
      </c>
      <c r="S8">
        <v>40417</v>
      </c>
      <c r="T8">
        <v>40479</v>
      </c>
      <c r="U8">
        <v>39618</v>
      </c>
      <c r="V8">
        <v>39213</v>
      </c>
      <c r="W8">
        <v>40143</v>
      </c>
    </row>
    <row r="9" spans="1:23" x14ac:dyDescent="0.25">
      <c r="A9">
        <v>2</v>
      </c>
      <c r="B9" t="s">
        <v>23</v>
      </c>
      <c r="C9">
        <v>370</v>
      </c>
      <c r="D9">
        <v>44110</v>
      </c>
      <c r="E9">
        <v>39029</v>
      </c>
      <c r="F9">
        <v>30887</v>
      </c>
      <c r="G9">
        <v>31010</v>
      </c>
      <c r="H9">
        <v>23313</v>
      </c>
      <c r="I9">
        <v>47521</v>
      </c>
      <c r="J9">
        <v>14087</v>
      </c>
      <c r="K9">
        <v>9399</v>
      </c>
      <c r="L9">
        <v>7647</v>
      </c>
      <c r="M9">
        <v>9140</v>
      </c>
      <c r="N9">
        <v>41683</v>
      </c>
      <c r="O9">
        <v>42394</v>
      </c>
      <c r="P9">
        <v>42187</v>
      </c>
      <c r="Q9">
        <v>41991</v>
      </c>
      <c r="R9">
        <v>41488</v>
      </c>
      <c r="S9">
        <v>41987</v>
      </c>
      <c r="T9">
        <v>40715</v>
      </c>
      <c r="U9">
        <v>39912</v>
      </c>
      <c r="V9">
        <v>42215</v>
      </c>
      <c r="W9">
        <v>41333</v>
      </c>
    </row>
    <row r="10" spans="1:23" x14ac:dyDescent="0.25">
      <c r="A10">
        <v>3</v>
      </c>
      <c r="B10" t="s">
        <v>23</v>
      </c>
      <c r="C10">
        <v>355</v>
      </c>
      <c r="D10">
        <v>43293</v>
      </c>
      <c r="E10">
        <v>37421</v>
      </c>
      <c r="F10">
        <v>29523</v>
      </c>
      <c r="G10">
        <v>30792</v>
      </c>
      <c r="H10">
        <v>22353</v>
      </c>
      <c r="I10">
        <v>50392</v>
      </c>
      <c r="J10">
        <v>14264</v>
      </c>
      <c r="K10">
        <v>8806</v>
      </c>
      <c r="L10">
        <v>8708</v>
      </c>
      <c r="M10">
        <v>9354</v>
      </c>
      <c r="N10">
        <v>40540</v>
      </c>
      <c r="O10">
        <v>42185</v>
      </c>
      <c r="P10">
        <v>41515</v>
      </c>
      <c r="Q10">
        <v>41809</v>
      </c>
      <c r="R10">
        <v>41153</v>
      </c>
      <c r="S10">
        <v>42876</v>
      </c>
      <c r="T10">
        <v>42365</v>
      </c>
      <c r="U10">
        <v>42057</v>
      </c>
      <c r="V10">
        <v>41877</v>
      </c>
      <c r="W10">
        <v>41140</v>
      </c>
    </row>
    <row r="13" spans="1:23" x14ac:dyDescent="0.25">
      <c r="M13" t="s">
        <v>34</v>
      </c>
      <c r="N13" t="s">
        <v>35</v>
      </c>
      <c r="O13" t="s">
        <v>36</v>
      </c>
    </row>
    <row r="14" spans="1:23" x14ac:dyDescent="0.25">
      <c r="C14" t="s">
        <v>32</v>
      </c>
      <c r="D14" t="s">
        <v>33</v>
      </c>
      <c r="F14" t="s">
        <v>32</v>
      </c>
      <c r="G14" t="s">
        <v>33</v>
      </c>
      <c r="I14" t="s">
        <v>32</v>
      </c>
      <c r="J14" t="s">
        <v>33</v>
      </c>
      <c r="M14">
        <f>40046-D15+D16</f>
        <v>39725.666666666672</v>
      </c>
      <c r="N14">
        <f>36801-G15+G16</f>
        <v>36320.666666666664</v>
      </c>
      <c r="O14">
        <f>19873-J15+J16</f>
        <v>19764</v>
      </c>
    </row>
    <row r="15" spans="1:23" x14ac:dyDescent="0.25">
      <c r="B15" t="s">
        <v>26</v>
      </c>
      <c r="C15">
        <v>2020</v>
      </c>
      <c r="D15">
        <f>AVERAGE(C15:C17)</f>
        <v>2399.6666666666665</v>
      </c>
      <c r="E15" t="s">
        <v>27</v>
      </c>
      <c r="F15">
        <v>1453</v>
      </c>
      <c r="G15">
        <f>AVERAGEA(F15:F17)</f>
        <v>2141.3333333333335</v>
      </c>
      <c r="H15" t="s">
        <v>28</v>
      </c>
      <c r="I15">
        <v>343</v>
      </c>
      <c r="J15">
        <f>AVERAGE(I15:I17)</f>
        <v>476.33333333333331</v>
      </c>
      <c r="M15">
        <f>39765-D15+D16</f>
        <v>39444.666666666672</v>
      </c>
      <c r="N15">
        <f>36583-G15+G16</f>
        <v>36102.666666666664</v>
      </c>
      <c r="O15">
        <f>19179-J15+J16</f>
        <v>19070</v>
      </c>
    </row>
    <row r="16" spans="1:23" x14ac:dyDescent="0.25">
      <c r="B16" t="s">
        <v>29</v>
      </c>
      <c r="C16">
        <v>1734</v>
      </c>
      <c r="D16">
        <f>AVERAGE(C2:C4)</f>
        <v>2079.3333333333335</v>
      </c>
      <c r="E16" t="s">
        <v>30</v>
      </c>
      <c r="F16">
        <v>1283</v>
      </c>
      <c r="G16">
        <f>AVERAGE(C5:C7)</f>
        <v>1661</v>
      </c>
      <c r="H16" t="s">
        <v>31</v>
      </c>
      <c r="I16">
        <v>343</v>
      </c>
      <c r="J16">
        <f>AVERAGE(C8:C10)</f>
        <v>367.33333333333331</v>
      </c>
      <c r="M16">
        <f>41036-D15+D16</f>
        <v>40715.666666666672</v>
      </c>
      <c r="N16">
        <f>36167-G15+G16</f>
        <v>35686.666666666664</v>
      </c>
      <c r="O16">
        <f>15430-J15+J16</f>
        <v>15321</v>
      </c>
    </row>
    <row r="17" spans="3:9" x14ac:dyDescent="0.25">
      <c r="C17">
        <v>3445</v>
      </c>
      <c r="F17">
        <v>3688</v>
      </c>
      <c r="I17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Neuhoff, Michael</dc:creator>
  <cp:lastModifiedBy>Neuhoff, Michael</cp:lastModifiedBy>
  <dcterms:created xsi:type="dcterms:W3CDTF">2024-11-12T16:03:51Z</dcterms:created>
  <dcterms:modified xsi:type="dcterms:W3CDTF">2025-10-06T17:49:39Z</dcterms:modified>
</cp:coreProperties>
</file>